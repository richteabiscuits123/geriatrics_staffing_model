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.gilpin\Documents\"/>
    </mc:Choice>
  </mc:AlternateContent>
  <xr:revisionPtr revIDLastSave="0" documentId="13_ncr:1_{11CD46FE-8F51-4004-A1D2-9440D0F1B35E}" xr6:coauthVersionLast="47" xr6:coauthVersionMax="47" xr10:uidLastSave="{00000000-0000-0000-0000-000000000000}"/>
  <bookViews>
    <workbookView xWindow="14400" yWindow="0" windowWidth="14400" windowHeight="15600" xr2:uid="{957C3CBE-EA66-4BE3-80D0-777A858AB005}"/>
  </bookViews>
  <sheets>
    <sheet name="Staff" sheetId="1" r:id="rId1"/>
    <sheet name="Scen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H2" i="1"/>
  <c r="I2" i="1" s="1"/>
  <c r="F3" i="1"/>
  <c r="H3" i="1"/>
  <c r="I3" i="1"/>
  <c r="F4" i="1"/>
  <c r="H4" i="1" s="1"/>
  <c r="I4" i="1" s="1"/>
  <c r="F5" i="1"/>
  <c r="H5" i="1"/>
  <c r="I5" i="1"/>
  <c r="F6" i="1"/>
  <c r="H6" i="1"/>
  <c r="I6" i="1" s="1"/>
  <c r="F7" i="1"/>
  <c r="H7" i="1"/>
  <c r="I7" i="1"/>
  <c r="F8" i="1"/>
  <c r="H8" i="1"/>
  <c r="I8" i="1" s="1"/>
  <c r="F9" i="1"/>
  <c r="H9" i="1" s="1"/>
  <c r="I9" i="1" s="1"/>
  <c r="F10" i="1"/>
  <c r="H10" i="1"/>
  <c r="I10" i="1"/>
  <c r="I30" i="1" l="1"/>
  <c r="L17" i="1"/>
</calcChain>
</file>

<file path=xl/sharedStrings.xml><?xml version="1.0" encoding="utf-8"?>
<sst xmlns="http://schemas.openxmlformats.org/spreadsheetml/2006/main" count="27" uniqueCount="27">
  <si>
    <r>
      <t xml:space="preserve">Leave weeks: </t>
    </r>
    <r>
      <rPr>
        <b/>
        <sz val="11"/>
        <color theme="1"/>
        <rFont val="Aptos Narrow"/>
        <family val="2"/>
        <scheme val="minor"/>
      </rPr>
      <t>10</t>
    </r>
  </si>
  <si>
    <r>
      <t xml:space="preserve">Weeks/year: </t>
    </r>
    <r>
      <rPr>
        <b/>
        <sz val="11"/>
        <color theme="1"/>
        <rFont val="Aptos Narrow"/>
        <family val="2"/>
        <scheme val="minor"/>
      </rPr>
      <t>52</t>
    </r>
  </si>
  <si>
    <r>
      <t>Leave factor</t>
    </r>
    <r>
      <rPr>
        <sz val="11"/>
        <color theme="1"/>
        <rFont val="Aptos Narrow"/>
        <family val="2"/>
        <scheme val="minor"/>
      </rPr>
      <t xml:space="preserve"> = </t>
    </r>
    <r>
      <rPr>
        <sz val="10"/>
        <color theme="1"/>
        <rFont val="Arial Unicode MS"/>
      </rPr>
      <t>(52 - 10) / 52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0.807692</t>
    </r>
  </si>
  <si>
    <t>FY1</t>
  </si>
  <si>
    <t>FY2</t>
  </si>
  <si>
    <t>CEF</t>
  </si>
  <si>
    <t>CFn</t>
  </si>
  <si>
    <t>CFoc</t>
  </si>
  <si>
    <t>ACP</t>
  </si>
  <si>
    <t>IMT</t>
  </si>
  <si>
    <t>GPST</t>
  </si>
  <si>
    <t>LIMT</t>
  </si>
  <si>
    <t>On call factor</t>
  </si>
  <si>
    <t>staff_group</t>
  </si>
  <si>
    <t>headcount</t>
  </si>
  <si>
    <t>base_WTE</t>
  </si>
  <si>
    <t>pattern_factor</t>
  </si>
  <si>
    <t>days_factor</t>
  </si>
  <si>
    <t>oncall_loss</t>
  </si>
  <si>
    <t>effective_WTE</t>
  </si>
  <si>
    <t>total_WTE</t>
  </si>
  <si>
    <t>leave_factor</t>
  </si>
  <si>
    <t>convert_CFn_to_LIMT</t>
  </si>
  <si>
    <t>convert_CFoc_to_LIMT</t>
  </si>
  <si>
    <t>LIMT_oncall_loss</t>
  </si>
  <si>
    <t>variable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</si>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</sst>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2" fontId="1" fillId="0" borderId="0" xfId="0" applyNumberFormat="1" applyFont="1"/>
    <xf numFmtId="2" fontId="0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32B61-C2C7-4A15-BD39-55DBEA15B1EF}">
  <dimension ref="A1:L36"/>
  <sheetViews>
    <sheetView tabSelected="1" workbookViewId="0">
      <selection activeCell="D29" sqref="D29"/>
    </sheetView>
  </sheetViews>
  <sheetFormatPr defaultRowHeight="15"/>
  <cols>
    <col min="1" max="1" width="17" style="1" customWidth="1"/>
    <col min="2" max="2" width="10.5703125" style="1" bestFit="1" customWidth="1"/>
    <col min="3" max="3" width="10.140625" style="1" bestFit="1" customWidth="1"/>
    <col min="4" max="4" width="13.85546875" style="1" bestFit="1" customWidth="1"/>
    <col min="5" max="5" width="11.28515625" style="1" bestFit="1" customWidth="1"/>
    <col min="6" max="6" width="12" style="1" bestFit="1" customWidth="1"/>
    <col min="7" max="7" width="11" style="1" bestFit="1" customWidth="1"/>
    <col min="8" max="8" width="14.140625" style="1" bestFit="1" customWidth="1"/>
    <col min="9" max="9" width="10" style="1" bestFit="1" customWidth="1"/>
    <col min="10" max="16384" width="9.140625" style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21</v>
      </c>
      <c r="G1" s="2" t="s">
        <v>18</v>
      </c>
      <c r="H1" s="2" t="s">
        <v>19</v>
      </c>
      <c r="I1" s="2" t="s">
        <v>20</v>
      </c>
    </row>
    <row r="2" spans="1:9">
      <c r="A2" s="1" t="s">
        <v>3</v>
      </c>
      <c r="B2" s="1">
        <v>7</v>
      </c>
      <c r="C2" s="1">
        <v>1</v>
      </c>
      <c r="D2" s="1">
        <v>1</v>
      </c>
      <c r="E2" s="1">
        <v>1</v>
      </c>
      <c r="F2" s="1">
        <f>$A$35</f>
        <v>0.80769199999999997</v>
      </c>
      <c r="G2" s="1">
        <v>0.4</v>
      </c>
      <c r="H2" s="1">
        <f>C2*D2*E2*F2*(1-G2)</f>
        <v>0.48461519999999997</v>
      </c>
      <c r="I2" s="1">
        <f>(B2*H2)</f>
        <v>3.3923063999999998</v>
      </c>
    </row>
    <row r="3" spans="1:9">
      <c r="A3" s="1" t="s">
        <v>4</v>
      </c>
      <c r="B3" s="1">
        <v>1</v>
      </c>
      <c r="C3" s="1">
        <v>1</v>
      </c>
      <c r="D3" s="1">
        <v>1</v>
      </c>
      <c r="E3" s="1">
        <v>1</v>
      </c>
      <c r="F3" s="1">
        <f>$A$35</f>
        <v>0.80769199999999997</v>
      </c>
      <c r="G3" s="1">
        <v>0.4</v>
      </c>
      <c r="H3" s="1">
        <f t="shared" ref="H3:H10" si="0">C3*D3*E3*F3*(1-G3)</f>
        <v>0.48461519999999997</v>
      </c>
      <c r="I3" s="1">
        <f t="shared" ref="I3:I10" si="1">(B3*H3)</f>
        <v>0.48461519999999997</v>
      </c>
    </row>
    <row r="4" spans="1:9">
      <c r="A4" s="1" t="s">
        <v>5</v>
      </c>
      <c r="B4" s="1">
        <v>4</v>
      </c>
      <c r="C4" s="1">
        <v>1</v>
      </c>
      <c r="D4" s="1">
        <v>0.5</v>
      </c>
      <c r="E4" s="1">
        <v>1</v>
      </c>
      <c r="F4" s="1">
        <f>$A$35</f>
        <v>0.80769199999999997</v>
      </c>
      <c r="G4" s="1">
        <v>0</v>
      </c>
      <c r="H4" s="1">
        <f t="shared" si="0"/>
        <v>0.40384599999999998</v>
      </c>
      <c r="I4" s="1">
        <f t="shared" si="1"/>
        <v>1.6153839999999999</v>
      </c>
    </row>
    <row r="5" spans="1:9">
      <c r="A5" s="1" t="s">
        <v>6</v>
      </c>
      <c r="B5" s="1">
        <v>4</v>
      </c>
      <c r="C5" s="1">
        <v>1</v>
      </c>
      <c r="D5" s="1">
        <v>1</v>
      </c>
      <c r="E5" s="1">
        <v>1</v>
      </c>
      <c r="F5" s="1">
        <f>$A$35</f>
        <v>0.80769199999999997</v>
      </c>
      <c r="G5" s="1">
        <v>0</v>
      </c>
      <c r="H5" s="1">
        <f t="shared" si="0"/>
        <v>0.80769199999999997</v>
      </c>
      <c r="I5" s="1">
        <f t="shared" si="1"/>
        <v>3.2307679999999999</v>
      </c>
    </row>
    <row r="6" spans="1:9">
      <c r="A6" s="1" t="s">
        <v>7</v>
      </c>
      <c r="B6" s="1">
        <v>2</v>
      </c>
      <c r="C6" s="1">
        <v>1</v>
      </c>
      <c r="D6" s="1">
        <v>1</v>
      </c>
      <c r="E6" s="1">
        <v>1</v>
      </c>
      <c r="F6" s="1">
        <f>$A$35</f>
        <v>0.80769199999999997</v>
      </c>
      <c r="G6" s="1">
        <v>0.4</v>
      </c>
      <c r="H6" s="1">
        <f t="shared" si="0"/>
        <v>0.48461519999999997</v>
      </c>
      <c r="I6" s="1">
        <f t="shared" si="1"/>
        <v>0.96923039999999994</v>
      </c>
    </row>
    <row r="7" spans="1:9">
      <c r="A7" s="1" t="s">
        <v>8</v>
      </c>
      <c r="B7" s="1">
        <v>2</v>
      </c>
      <c r="C7" s="1">
        <v>1</v>
      </c>
      <c r="D7" s="1">
        <v>1</v>
      </c>
      <c r="E7" s="1">
        <v>0.8</v>
      </c>
      <c r="F7" s="1">
        <f>$A$35</f>
        <v>0.80769199999999997</v>
      </c>
      <c r="G7" s="1">
        <v>0</v>
      </c>
      <c r="H7" s="1">
        <f t="shared" si="0"/>
        <v>0.64615359999999999</v>
      </c>
      <c r="I7" s="1">
        <f t="shared" si="1"/>
        <v>1.2923072</v>
      </c>
    </row>
    <row r="8" spans="1:9">
      <c r="A8" s="1" t="s">
        <v>9</v>
      </c>
      <c r="B8" s="1">
        <v>2</v>
      </c>
      <c r="C8" s="1">
        <v>1</v>
      </c>
      <c r="D8" s="1">
        <v>1</v>
      </c>
      <c r="E8" s="1">
        <v>1</v>
      </c>
      <c r="F8" s="1">
        <f>$A$35</f>
        <v>0.80769199999999997</v>
      </c>
      <c r="G8" s="1">
        <v>0.4</v>
      </c>
      <c r="H8" s="1">
        <f t="shared" si="0"/>
        <v>0.48461519999999997</v>
      </c>
      <c r="I8" s="1">
        <f t="shared" si="1"/>
        <v>0.96923039999999994</v>
      </c>
    </row>
    <row r="9" spans="1:9">
      <c r="A9" s="1" t="s">
        <v>10</v>
      </c>
      <c r="B9" s="1">
        <v>2</v>
      </c>
      <c r="C9" s="1">
        <v>1</v>
      </c>
      <c r="D9" s="1">
        <v>1</v>
      </c>
      <c r="E9" s="1">
        <v>1</v>
      </c>
      <c r="F9" s="1">
        <f>$A$35</f>
        <v>0.80769199999999997</v>
      </c>
      <c r="G9" s="1">
        <v>0.4</v>
      </c>
      <c r="H9" s="1">
        <f t="shared" si="0"/>
        <v>0.48461519999999997</v>
      </c>
      <c r="I9" s="1">
        <f t="shared" si="1"/>
        <v>0.96923039999999994</v>
      </c>
    </row>
    <row r="10" spans="1:9">
      <c r="A10" s="1" t="s">
        <v>11</v>
      </c>
      <c r="B10" s="1">
        <v>0</v>
      </c>
      <c r="C10" s="1">
        <v>1</v>
      </c>
      <c r="D10" s="1">
        <v>1</v>
      </c>
      <c r="E10" s="1">
        <v>1</v>
      </c>
      <c r="F10" s="1">
        <f>$A$35</f>
        <v>0.80769199999999997</v>
      </c>
      <c r="G10" s="1">
        <v>0.4</v>
      </c>
      <c r="H10" s="1">
        <f t="shared" si="0"/>
        <v>0.48461519999999997</v>
      </c>
      <c r="I10" s="1">
        <f t="shared" si="1"/>
        <v>0</v>
      </c>
    </row>
    <row r="11" spans="1:9">
      <c r="A11" s="2"/>
    </row>
    <row r="12" spans="1:9">
      <c r="A12" s="2"/>
    </row>
    <row r="13" spans="1:9">
      <c r="A13" s="2"/>
    </row>
    <row r="14" spans="1:9">
      <c r="A14" s="2"/>
    </row>
    <row r="15" spans="1:9">
      <c r="A15" s="2"/>
    </row>
    <row r="16" spans="1:9">
      <c r="A16" s="2"/>
    </row>
    <row r="17" spans="1:12">
      <c r="A17" s="2"/>
      <c r="L17" s="1">
        <f>SUM(B17:J17)</f>
        <v>0</v>
      </c>
    </row>
    <row r="18" spans="1:12">
      <c r="A18" s="3"/>
    </row>
    <row r="30" spans="1:12">
      <c r="I30" s="1">
        <f>SUM(I2:I10)</f>
        <v>12.923072000000001</v>
      </c>
    </row>
    <row r="32" spans="1:12">
      <c r="A32" s="1" t="s">
        <v>0</v>
      </c>
    </row>
    <row r="33" spans="1:1">
      <c r="A33" s="1" t="s">
        <v>1</v>
      </c>
    </row>
    <row r="34" spans="1:1">
      <c r="A34" s="2" t="s">
        <v>2</v>
      </c>
    </row>
    <row r="35" spans="1:1">
      <c r="A35" s="1">
        <v>0.80769199999999997</v>
      </c>
    </row>
    <row r="36" spans="1:1">
      <c r="A36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8E96E-6E49-41D0-9983-873999C0E690}">
  <dimension ref="A1:B5"/>
  <sheetViews>
    <sheetView workbookViewId="0">
      <selection activeCell="C6" sqref="C6"/>
    </sheetView>
  </sheetViews>
  <sheetFormatPr defaultRowHeight="15"/>
  <cols>
    <col min="1" max="1" width="19.85546875" customWidth="1"/>
    <col min="2" max="2" width="5.7109375" bestFit="1" customWidth="1"/>
  </cols>
  <sheetData>
    <row r="1" spans="1:2">
      <c r="A1" s="4"/>
    </row>
    <row r="2" spans="1:2">
      <c r="A2" t="s">
        <v>25</v>
      </c>
      <c r="B2" t="s">
        <v>26</v>
      </c>
    </row>
    <row r="3" spans="1:2" ht="45">
      <c r="A3" s="5" t="s">
        <v>22</v>
      </c>
      <c r="B3" s="5">
        <v>0</v>
      </c>
    </row>
    <row r="4" spans="1:2" ht="45">
      <c r="A4" s="5" t="s">
        <v>23</v>
      </c>
      <c r="B4" s="5">
        <v>0</v>
      </c>
    </row>
    <row r="5" spans="1:2" ht="30">
      <c r="A5" s="5" t="s">
        <v>24</v>
      </c>
      <c r="B5" s="5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</vt:lpstr>
      <vt:lpstr>Scenario</vt:lpstr>
    </vt:vector>
  </TitlesOfParts>
  <Company>Hoople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Gilpin</dc:creator>
  <cp:lastModifiedBy>Richard Gilpin</cp:lastModifiedBy>
  <dcterms:created xsi:type="dcterms:W3CDTF">2026-02-09T10:06:01Z</dcterms:created>
  <dcterms:modified xsi:type="dcterms:W3CDTF">2026-02-09T10:39:24Z</dcterms:modified>
</cp:coreProperties>
</file>